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LULC project\tables\"/>
    </mc:Choice>
  </mc:AlternateContent>
  <xr:revisionPtr revIDLastSave="0" documentId="8_{5BD70EB6-FD3B-4326-AA6D-4B3FF7349D45}" xr6:coauthVersionLast="47" xr6:coauthVersionMax="47" xr10:uidLastSave="{00000000-0000-0000-0000-000000000000}"/>
  <bookViews>
    <workbookView xWindow="-110" yWindow="-110" windowWidth="19420" windowHeight="10300" activeTab="1" xr2:uid="{B7FBF0C6-C9DD-4EB2-864F-F97C08BDF696}"/>
  </bookViews>
  <sheets>
    <sheet name="LULC" sheetId="1" r:id="rId1"/>
    <sheet name="Distribution char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C10" i="1"/>
  <c r="C11" i="1"/>
  <c r="C12" i="1"/>
  <c r="B10" i="1"/>
  <c r="B11" i="1"/>
  <c r="B12" i="1"/>
  <c r="D9" i="1"/>
  <c r="C9" i="1"/>
  <c r="B9" i="1"/>
</calcChain>
</file>

<file path=xl/sharedStrings.xml><?xml version="1.0" encoding="utf-8"?>
<sst xmlns="http://schemas.openxmlformats.org/spreadsheetml/2006/main" count="20" uniqueCount="11">
  <si>
    <t>Land Use Class</t>
  </si>
  <si>
    <r>
      <t>2005 (km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</si>
  <si>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2015 (km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</si>
  <si>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2024 (km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</si>
  <si>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Vegetation</t>
  </si>
  <si>
    <t>Mining</t>
  </si>
  <si>
    <t>Water</t>
  </si>
  <si>
    <t>Built-up</t>
  </si>
  <si>
    <t>Change(2005-2015)</t>
  </si>
  <si>
    <t>Change(2015-2024)</t>
  </si>
  <si>
    <t>Change(2005-2024)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</si>
</sst>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2" fillId="2" borderId="1" xfId="0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LULC</a:t>
            </a:r>
            <a:r>
              <a:rPr lang="en-US" sz="1050" baseline="0"/>
              <a:t> Area Comparison of Jharia Coalfield (2005, 2015 and 2024)</a:t>
            </a:r>
            <a:endParaRPr lang="en-US" sz="1050"/>
          </a:p>
        </c:rich>
      </c:tx>
      <c:layout>
        <c:manualLayout>
          <c:xMode val="edge"/>
          <c:yMode val="edge"/>
          <c:x val="0.1144234470691163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LULC!$B$1</c:f>
              <c:strCache>
                <c:ptCount val="1"/>
                <c:pt idx="0">
                  <c:v>2005 (km2)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LULC!$A$2:$A$5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LULC!$B$2:$B$5</c:f>
              <c:numCache>
                <c:formatCode>General</c:formatCode>
                <c:ptCount val="4"/>
                <c:pt idx="0">
                  <c:v>5.42</c:v>
                </c:pt>
                <c:pt idx="1">
                  <c:v>6.58</c:v>
                </c:pt>
                <c:pt idx="2">
                  <c:v>1.01</c:v>
                </c:pt>
                <c:pt idx="3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5-49F0-A3C9-E0FF28F504AE}"/>
            </c:ext>
          </c:extLst>
        </c:ser>
        <c:ser>
          <c:idx val="1"/>
          <c:order val="1"/>
          <c:tx>
            <c:strRef>
              <c:f>LULC!$C$1</c:f>
              <c:strCache>
                <c:ptCount val="1"/>
                <c:pt idx="0">
                  <c:v>2015 (km2)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LULC!$A$2:$A$5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LULC!$C$2:$C$5</c:f>
              <c:numCache>
                <c:formatCode>General</c:formatCode>
                <c:ptCount val="4"/>
                <c:pt idx="0">
                  <c:v>5.0199999999999996</c:v>
                </c:pt>
                <c:pt idx="1">
                  <c:v>10.27</c:v>
                </c:pt>
                <c:pt idx="2">
                  <c:v>0.38</c:v>
                </c:pt>
                <c:pt idx="3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5-49F0-A3C9-E0FF28F504AE}"/>
            </c:ext>
          </c:extLst>
        </c:ser>
        <c:ser>
          <c:idx val="2"/>
          <c:order val="2"/>
          <c:tx>
            <c:strRef>
              <c:f>LULC!$D$1</c:f>
              <c:strCache>
                <c:ptCount val="1"/>
                <c:pt idx="0">
                  <c:v>2024 (km2)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LULC!$A$2:$A$5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LULC!$D$2:$D$5</c:f>
              <c:numCache>
                <c:formatCode>General</c:formatCode>
                <c:ptCount val="4"/>
                <c:pt idx="0">
                  <c:v>3.53</c:v>
                </c:pt>
                <c:pt idx="1">
                  <c:v>15.28</c:v>
                </c:pt>
                <c:pt idx="2">
                  <c:v>0.23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5-49F0-A3C9-E0FF28F5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026464"/>
        <c:axId val="1609023584"/>
      </c:barChart>
      <c:catAx>
        <c:axId val="160902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 Use 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23584"/>
        <c:crosses val="autoZero"/>
        <c:auto val="1"/>
        <c:lblAlgn val="ctr"/>
        <c:lblOffset val="100"/>
        <c:noMultiLvlLbl val="0"/>
      </c:catAx>
      <c:valAx>
        <c:axId val="160902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(km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2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 Distribution 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5A-432C-B243-5E24F643F5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A-432C-B243-5E24F643F5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5A-432C-B243-5E24F643F5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5A-432C-B243-5E24F643F55E}"/>
              </c:ext>
            </c:extLst>
          </c:dPt>
          <c:cat>
            <c:strRef>
              <c:f>LULC!$A$2:$A$5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LULC!$B$2:$B$5</c:f>
              <c:numCache>
                <c:formatCode>General</c:formatCode>
                <c:ptCount val="4"/>
                <c:pt idx="0">
                  <c:v>5.42</c:v>
                </c:pt>
                <c:pt idx="1">
                  <c:v>6.58</c:v>
                </c:pt>
                <c:pt idx="2">
                  <c:v>1.01</c:v>
                </c:pt>
                <c:pt idx="3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5A-432C-B243-5E24F643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 Distribution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A-4A8D-ACFA-4B926C6D05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A-4A8D-ACFA-4B926C6D05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6A-4A8D-ACFA-4B926C6D05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6A-4A8D-ACFA-4B926C6D059E}"/>
              </c:ext>
            </c:extLst>
          </c:dPt>
          <c:cat>
            <c:strRef>
              <c:f>LULC!$A$15:$A$18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LULC!$B$15:$B$18</c:f>
              <c:numCache>
                <c:formatCode>General</c:formatCode>
                <c:ptCount val="4"/>
                <c:pt idx="0">
                  <c:v>3.53</c:v>
                </c:pt>
                <c:pt idx="1">
                  <c:v>15.28</c:v>
                </c:pt>
                <c:pt idx="2">
                  <c:v>0.23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A-4A8D-ACFA-4B926C6D0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 Distribution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07-4E57-ADF9-8470CE7256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07-4E57-ADF9-8470CE7256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07-4E57-ADF9-8470CE7256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07-4E57-ADF9-8470CE725682}"/>
              </c:ext>
            </c:extLst>
          </c:dPt>
          <c:cat>
            <c:strRef>
              <c:f>LULC!$A$15:$A$18</c:f>
              <c:strCache>
                <c:ptCount val="4"/>
                <c:pt idx="0">
                  <c:v>Vegetation</c:v>
                </c:pt>
                <c:pt idx="1">
                  <c:v>Mining</c:v>
                </c:pt>
                <c:pt idx="2">
                  <c:v>Water</c:v>
                </c:pt>
                <c:pt idx="3">
                  <c:v>Built-up</c:v>
                </c:pt>
              </c:strCache>
            </c:strRef>
          </c:cat>
          <c:val>
            <c:numRef>
              <c:f>LULC!$B$15:$B$18</c:f>
              <c:numCache>
                <c:formatCode>General</c:formatCode>
                <c:ptCount val="4"/>
                <c:pt idx="0">
                  <c:v>3.53</c:v>
                </c:pt>
                <c:pt idx="1">
                  <c:v>15.28</c:v>
                </c:pt>
                <c:pt idx="2">
                  <c:v>0.23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07-4E57-ADF9-8470CE72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0</xdr:row>
      <xdr:rowOff>76199</xdr:rowOff>
    </xdr:from>
    <xdr:to>
      <xdr:col>12</xdr:col>
      <xdr:colOff>583908</xdr:colOff>
      <xdr:row>15</xdr:row>
      <xdr:rowOff>58390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C616D-7CEB-078B-E4A4-660740EAB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114300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E801D-F3AF-4484-AA87-45AAD49C9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11</xdr:col>
      <xdr:colOff>146050</xdr:colOff>
      <xdr:row>15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11DC0-258F-4FED-8996-A0AF862BD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17</xdr:col>
      <xdr:colOff>139700</xdr:colOff>
      <xdr:row>15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773FFA-6200-465C-843E-70300AE0D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3F2D-61E3-48FB-ADBD-4EDD832DF765}">
  <dimension ref="A1:D18"/>
  <sheetViews>
    <sheetView zoomScale="82" workbookViewId="0">
      <selection activeCell="H19" sqref="H19"/>
    </sheetView>
  </sheetViews>
  <sheetFormatPr defaultRowHeight="14.5" x14ac:dyDescent="0.35"/>
  <cols>
    <col min="1" max="1" width="14.7265625" customWidth="1"/>
    <col min="2" max="2" width="17.54296875" customWidth="1"/>
    <col min="3" max="3" width="17.36328125" customWidth="1"/>
    <col min="4" max="4" width="17.7265625" customWidth="1"/>
  </cols>
  <sheetData>
    <row r="1" spans="1:4" ht="16.5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4</v>
      </c>
      <c r="B2" s="3">
        <v>5.42</v>
      </c>
      <c r="C2" s="3">
        <v>5.0199999999999996</v>
      </c>
      <c r="D2" s="3">
        <v>3.53</v>
      </c>
    </row>
    <row r="3" spans="1:4" x14ac:dyDescent="0.35">
      <c r="A3" s="2" t="s">
        <v>5</v>
      </c>
      <c r="B3" s="3">
        <v>6.58</v>
      </c>
      <c r="C3" s="3">
        <v>10.27</v>
      </c>
      <c r="D3" s="3">
        <v>15.28</v>
      </c>
    </row>
    <row r="4" spans="1:4" x14ac:dyDescent="0.35">
      <c r="A4" s="2" t="s">
        <v>6</v>
      </c>
      <c r="B4" s="3">
        <v>1.01</v>
      </c>
      <c r="C4" s="3">
        <v>0.38</v>
      </c>
      <c r="D4" s="3">
        <v>0.23</v>
      </c>
    </row>
    <row r="5" spans="1:4" x14ac:dyDescent="0.35">
      <c r="A5" s="2" t="s">
        <v>7</v>
      </c>
      <c r="B5" s="3">
        <v>1.67</v>
      </c>
      <c r="C5" s="3">
        <v>2.0299999999999998</v>
      </c>
      <c r="D5" s="3">
        <v>3.23</v>
      </c>
    </row>
    <row r="8" spans="1:4" x14ac:dyDescent="0.35">
      <c r="A8" s="7" t="s">
        <v>0</v>
      </c>
      <c r="B8" s="7" t="s">
        <v>8</v>
      </c>
      <c r="C8" s="7" t="s">
        <v>9</v>
      </c>
      <c r="D8" s="7" t="s">
        <v>10</v>
      </c>
    </row>
    <row r="9" spans="1:4" x14ac:dyDescent="0.35">
      <c r="A9" s="1" t="s">
        <v>4</v>
      </c>
      <c r="B9" s="5">
        <f>C2-B2</f>
        <v>-0.40000000000000036</v>
      </c>
      <c r="C9" s="5">
        <f>D2-C2</f>
        <v>-1.4899999999999998</v>
      </c>
      <c r="D9" s="5">
        <f>D2-B2</f>
        <v>-1.8900000000000001</v>
      </c>
    </row>
    <row r="10" spans="1:4" x14ac:dyDescent="0.35">
      <c r="A10" s="1" t="s">
        <v>5</v>
      </c>
      <c r="B10" s="5">
        <f t="shared" ref="B10:C12" si="0">C3-B3</f>
        <v>3.6899999999999995</v>
      </c>
      <c r="C10" s="5">
        <f t="shared" si="0"/>
        <v>5.01</v>
      </c>
      <c r="D10" s="5">
        <f t="shared" ref="D10:D12" si="1">D3-B3</f>
        <v>8.6999999999999993</v>
      </c>
    </row>
    <row r="11" spans="1:4" x14ac:dyDescent="0.35">
      <c r="A11" s="1" t="s">
        <v>6</v>
      </c>
      <c r="B11" s="5">
        <f t="shared" si="0"/>
        <v>-0.63</v>
      </c>
      <c r="C11" s="5">
        <f t="shared" si="0"/>
        <v>-0.15</v>
      </c>
      <c r="D11" s="5">
        <f t="shared" si="1"/>
        <v>-0.78</v>
      </c>
    </row>
    <row r="12" spans="1:4" x14ac:dyDescent="0.35">
      <c r="A12" s="1" t="s">
        <v>7</v>
      </c>
      <c r="B12" s="5">
        <f t="shared" si="0"/>
        <v>0.35999999999999988</v>
      </c>
      <c r="C12" s="5">
        <f t="shared" si="0"/>
        <v>1.2000000000000002</v>
      </c>
      <c r="D12" s="5">
        <f t="shared" si="1"/>
        <v>1.56</v>
      </c>
    </row>
    <row r="13" spans="1:4" x14ac:dyDescent="0.35">
      <c r="A13" s="6"/>
      <c r="B13" s="6"/>
      <c r="C13" s="6"/>
      <c r="D13" s="6"/>
    </row>
    <row r="15" spans="1:4" x14ac:dyDescent="0.35">
      <c r="A15" s="8" t="s">
        <v>4</v>
      </c>
      <c r="B15" s="9">
        <v>3.53</v>
      </c>
    </row>
    <row r="16" spans="1:4" x14ac:dyDescent="0.35">
      <c r="A16" s="8" t="s">
        <v>5</v>
      </c>
      <c r="B16" s="9">
        <v>15.28</v>
      </c>
    </row>
    <row r="17" spans="1:2" x14ac:dyDescent="0.35">
      <c r="A17" s="8" t="s">
        <v>6</v>
      </c>
      <c r="B17" s="9">
        <v>0.23</v>
      </c>
    </row>
    <row r="18" spans="1:2" x14ac:dyDescent="0.35">
      <c r="A18" s="8" t="s">
        <v>7</v>
      </c>
      <c r="B18" s="9">
        <v>3.23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9B8D-A8C6-42F6-B160-657FC782F047}">
  <dimension ref="A1"/>
  <sheetViews>
    <sheetView tabSelected="1" workbookViewId="0">
      <selection activeCell="I19" sqref="I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LULC</vt:lpstr>
      <vt:lpstr>Distribution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2026-06-20T17:57:49Z</dcterms:created>
  <dcterms:modified xsi:type="dcterms:W3CDTF">2026-06-20T18:35:30Z</dcterms:modified>
</cp:coreProperties>
</file>